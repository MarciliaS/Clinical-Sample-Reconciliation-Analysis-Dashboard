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3E5162A-DE6A-40F7-BB2D-4716C65F2C68}" xr6:coauthVersionLast="47" xr6:coauthVersionMax="47" xr10:uidLastSave="{00000000-0000-0000-0000-000000000000}"/>
  <bookViews>
    <workbookView xWindow="-110" yWindow="-110" windowWidth="22780" windowHeight="14540" xr2:uid="{4741D786-5833-4453-BE3E-1B0079CC25B0}"/>
  </bookViews>
  <sheets>
    <sheet name="Expected_samples" sheetId="1" r:id="rId1"/>
    <sheet name="Received_samples" sheetId="2" r:id="rId2"/>
    <sheet name="Analysis" sheetId="3" r:id="rId3"/>
    <sheet name="PivotTable_Analysis" sheetId="5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G3" i="3" s="1"/>
  <c r="H3" i="3" s="1"/>
  <c r="F4" i="3"/>
  <c r="F5" i="3"/>
  <c r="G5" i="3" s="1"/>
  <c r="F6" i="3"/>
  <c r="F7" i="3"/>
  <c r="F8" i="3"/>
  <c r="G8" i="3" s="1"/>
  <c r="H8" i="3" s="1"/>
  <c r="F9" i="3"/>
  <c r="G9" i="3" s="1"/>
  <c r="H9" i="3" s="1"/>
  <c r="F10" i="3"/>
  <c r="F11" i="3"/>
  <c r="G11" i="3" s="1"/>
  <c r="H11" i="3" s="1"/>
  <c r="F12" i="3"/>
  <c r="F13" i="3"/>
  <c r="G13" i="3" s="1"/>
  <c r="H13" i="3" s="1"/>
  <c r="K18" i="3"/>
  <c r="K17" i="3"/>
  <c r="K12" i="3"/>
  <c r="K13" i="3"/>
  <c r="K11" i="3"/>
  <c r="K6" i="3"/>
  <c r="K2" i="3"/>
  <c r="G4" i="3"/>
  <c r="H4" i="3" s="1"/>
  <c r="G6" i="3"/>
  <c r="H6" i="3" s="1"/>
  <c r="G7" i="3"/>
  <c r="G10" i="3"/>
  <c r="H10" i="3" s="1"/>
  <c r="G12" i="3"/>
  <c r="N11" i="3" l="1"/>
  <c r="M12" i="3"/>
  <c r="H7" i="3"/>
  <c r="L12" i="3"/>
  <c r="M18" i="3"/>
  <c r="L18" i="3"/>
  <c r="H5" i="3"/>
  <c r="M13" i="3"/>
  <c r="H12" i="3"/>
  <c r="L13" i="3"/>
  <c r="N13" i="3"/>
  <c r="G2" i="3"/>
  <c r="N12" i="3"/>
  <c r="K7" i="3"/>
  <c r="K3" i="3" l="1"/>
  <c r="M17" i="3"/>
  <c r="H2" i="3"/>
  <c r="K5" i="3" s="1"/>
  <c r="L17" i="3"/>
  <c r="M11" i="3"/>
  <c r="K4" i="3"/>
  <c r="L11" i="3"/>
</calcChain>
</file>

<file path=xl/sharedStrings.xml><?xml version="1.0" encoding="utf-8"?>
<sst xmlns="http://schemas.openxmlformats.org/spreadsheetml/2006/main" count="164" uniqueCount="43">
  <si>
    <t>Sample_ID</t>
  </si>
  <si>
    <t>Study_ID</t>
  </si>
  <si>
    <t>Site</t>
  </si>
  <si>
    <t>Visit</t>
  </si>
  <si>
    <t>Expected_Qty</t>
  </si>
  <si>
    <t>Received_Qty</t>
  </si>
  <si>
    <t>Status</t>
  </si>
  <si>
    <t>Review_Flag</t>
  </si>
  <si>
    <t>S001</t>
  </si>
  <si>
    <t>Study_A</t>
  </si>
  <si>
    <t>Site_01</t>
  </si>
  <si>
    <t>Day_1</t>
  </si>
  <si>
    <t>Received</t>
  </si>
  <si>
    <t>S002</t>
  </si>
  <si>
    <t>S003</t>
  </si>
  <si>
    <t>Site_02</t>
  </si>
  <si>
    <t>Missing</t>
  </si>
  <si>
    <t>Review</t>
  </si>
  <si>
    <t>S004</t>
  </si>
  <si>
    <t>Day_2</t>
  </si>
  <si>
    <t>S005</t>
  </si>
  <si>
    <t>Site_03</t>
  </si>
  <si>
    <t>S006</t>
  </si>
  <si>
    <t>Study_B</t>
  </si>
  <si>
    <t>S007</t>
  </si>
  <si>
    <t>S008</t>
  </si>
  <si>
    <t>S009</t>
  </si>
  <si>
    <t>S010</t>
  </si>
  <si>
    <t>S011</t>
  </si>
  <si>
    <t>Study_C</t>
  </si>
  <si>
    <t>S012</t>
  </si>
  <si>
    <t>Metric</t>
  </si>
  <si>
    <t>Value</t>
  </si>
  <si>
    <t>Total Samples</t>
  </si>
  <si>
    <t>Received Samples</t>
  </si>
  <si>
    <t>Missing Samples</t>
  </si>
  <si>
    <t>Review Records</t>
  </si>
  <si>
    <t>Total Expected Qty</t>
  </si>
  <si>
    <t>Total Received Qty</t>
  </si>
  <si>
    <t>Row Labels</t>
  </si>
  <si>
    <t>Grand Total</t>
  </si>
  <si>
    <t>Count of Sample_ID</t>
  </si>
  <si>
    <t>Count of Review_Flag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</si>
</sst>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horizontal="right"/>
    </xf>
    <xf numFmtId="0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/>
  </cellXfs>
  <cellStyles count="1">
    <cellStyle name="Normal" xfId="0" builtinId="0"/>
  </cellStyles>
  <dxfs count="76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9.71186909722" createdVersion="8" refreshedVersion="8" minRefreshableVersion="3" recordCount="12" xr:uid="{3E3E4700-F927-4974-84D8-782A8A7E0926}">
  <cacheSource type="worksheet">
    <worksheetSource name="Analysis_Samples"/>
  </cacheSource>
  <cacheFields count="8">
    <cacheField name="Sample_ID" numFmtId="0">
      <sharedItems count="12">
        <s v="S001"/>
        <s v="S002"/>
        <s v="S003"/>
        <s v="S004"/>
        <s v="S005"/>
        <s v="S006"/>
        <s v="S007"/>
        <s v="S008"/>
        <s v="S009"/>
        <s v="S010"/>
        <s v="S011"/>
        <s v="S012"/>
      </sharedItems>
    </cacheField>
    <cacheField name="Study_ID" numFmtId="0">
      <sharedItems count="3">
        <s v="Study_A"/>
        <s v="Study_B"/>
        <s v="Study_C"/>
      </sharedItems>
    </cacheField>
    <cacheField name="Site" numFmtId="0">
      <sharedItems/>
    </cacheField>
    <cacheField name="Visit" numFmtId="0">
      <sharedItems count="2">
        <s v="Day_1"/>
        <s v="Day_2"/>
      </sharedItems>
    </cacheField>
    <cacheField name="Expected_Qty" numFmtId="0">
      <sharedItems containsSemiMixedTypes="0" containsString="0" containsNumber="1" containsInteger="1" minValue="1" maxValue="1"/>
    </cacheField>
    <cacheField name="Received_Qty" numFmtId="0">
      <sharedItems containsSemiMixedTypes="0" containsString="0" containsNumber="1" containsInteger="1" minValue="0" maxValue="1"/>
    </cacheField>
    <cacheField name="Status" numFmtId="0">
      <sharedItems count="2">
        <s v="Received"/>
        <s v="Missing"/>
      </sharedItems>
    </cacheField>
    <cacheField name="Review_Flag" numFmtId="0">
      <sharedItems count="2">
        <s v="OK"/>
        <s v="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Site_01"/>
    <x v="0"/>
    <n v="1"/>
    <n v="1"/>
    <x v="0"/>
    <x v="0"/>
  </r>
  <r>
    <x v="1"/>
    <x v="0"/>
    <s v="Site_01"/>
    <x v="0"/>
    <n v="1"/>
    <n v="1"/>
    <x v="0"/>
    <x v="0"/>
  </r>
  <r>
    <x v="2"/>
    <x v="0"/>
    <s v="Site_02"/>
    <x v="0"/>
    <n v="1"/>
    <n v="0"/>
    <x v="1"/>
    <x v="1"/>
  </r>
  <r>
    <x v="3"/>
    <x v="0"/>
    <s v="Site_02"/>
    <x v="1"/>
    <n v="1"/>
    <n v="1"/>
    <x v="0"/>
    <x v="0"/>
  </r>
  <r>
    <x v="4"/>
    <x v="0"/>
    <s v="Site_03"/>
    <x v="0"/>
    <n v="1"/>
    <n v="0"/>
    <x v="1"/>
    <x v="1"/>
  </r>
  <r>
    <x v="5"/>
    <x v="1"/>
    <s v="Site_01"/>
    <x v="0"/>
    <n v="1"/>
    <n v="1"/>
    <x v="0"/>
    <x v="0"/>
  </r>
  <r>
    <x v="6"/>
    <x v="1"/>
    <s v="Site_02"/>
    <x v="0"/>
    <n v="1"/>
    <n v="1"/>
    <x v="0"/>
    <x v="0"/>
  </r>
  <r>
    <x v="7"/>
    <x v="1"/>
    <s v="Site_02"/>
    <x v="1"/>
    <n v="1"/>
    <n v="0"/>
    <x v="1"/>
    <x v="1"/>
  </r>
  <r>
    <x v="8"/>
    <x v="1"/>
    <s v="Site_03"/>
    <x v="0"/>
    <n v="1"/>
    <n v="1"/>
    <x v="0"/>
    <x v="0"/>
  </r>
  <r>
    <x v="9"/>
    <x v="1"/>
    <s v="Site_03"/>
    <x v="1"/>
    <n v="1"/>
    <n v="1"/>
    <x v="0"/>
    <x v="0"/>
  </r>
  <r>
    <x v="10"/>
    <x v="2"/>
    <s v="Site_01"/>
    <x v="0"/>
    <n v="1"/>
    <n v="0"/>
    <x v="1"/>
    <x v="1"/>
  </r>
  <r>
    <x v="11"/>
    <x v="2"/>
    <s v="Site_02"/>
    <x v="0"/>
    <n v="1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42B43-CE35-4617-B52E-F4981D96A8B1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3" firstHeaderRow="1" firstDataRow="1" firstDataCol="1" rowPageCount="1" colPageCount="1"/>
  <pivotFields count="8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1" hier="-1"/>
  </pageFields>
  <dataFields count="1">
    <dataField name="Count of Review_Flag" fld="7" subtotal="count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37744-AE94-4E42-B58A-8F4BD4A5448D}" name="PivotTable3" cacheId="1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11:B14" firstHeaderRow="1" firstDataRow="1" firstDataCol="1" rowPageCount="1" colPageCount="1"/>
  <pivotFields count="8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Count of Sample_ID" fld="0" subtotal="count" baseField="0" baseItem="0"/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3FCD6-9AA1-4AC1-9CB6-EA9CAEAB480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8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Count of Sample_ID" fld="0" subtotal="count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80075A-11C0-483A-9604-28E81904CB8F}" name="Expected_Samples" displayName="Expected_Samples" ref="A1:E13" totalsRowShown="0" headerRowDxfId="67" dataDxfId="68">
  <autoFilter ref="A1:E13" xr:uid="{EA80075A-11C0-483A-9604-28E81904CB8F}"/>
  <tableColumns count="5">
    <tableColumn id="1" xr3:uid="{D69F9D90-21DE-440D-9E1E-5451A08A40EB}" name="Sample_ID" dataDxfId="73"/>
    <tableColumn id="2" xr3:uid="{7E2616F2-9620-4F8A-BFCF-32EEAC379293}" name="Study_ID" dataDxfId="72"/>
    <tableColumn id="3" xr3:uid="{30DF041C-302B-496C-A674-C1E978FD5CC2}" name="Site" dataDxfId="71"/>
    <tableColumn id="4" xr3:uid="{0ED179CD-82F0-49CE-B559-69AB5267A8F5}" name="Visit" dataDxfId="70"/>
    <tableColumn id="5" xr3:uid="{80CCD94E-DF75-4359-A39F-98E10ACAACD6}" name="Expected_Qty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3C543-8D4C-4B0E-9844-F9C62A8127F8}" name="Received_Samples" displayName="Received_Samples" ref="A1:B9" totalsRowShown="0">
  <autoFilter ref="A1:B9" xr:uid="{F953C543-8D4C-4B0E-9844-F9C62A8127F8}"/>
  <tableColumns count="2">
    <tableColumn id="1" xr3:uid="{D67FE1EC-ED68-4385-BC96-3A5F5D6EAB78}" name="Sample_ID" dataDxfId="75"/>
    <tableColumn id="2" xr3:uid="{18D3D5C4-C26A-4A5D-BF4D-0E1E8766486F}" name="Received_Qty" data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F22560-E764-4B84-B907-EDC626E34AAB}" name="Analysis_Samples" displayName="Analysis_Samples" ref="A1:H13" totalsRowShown="0" headerRowDxfId="60" dataDxfId="61">
  <autoFilter ref="A1:H13" xr:uid="{D7F22560-E764-4B84-B907-EDC626E34AAB}"/>
  <tableColumns count="8">
    <tableColumn id="1" xr3:uid="{1DF2BD05-F913-442B-BA6E-FDA44A4B395C}" name="Sample_ID" dataDxfId="66"/>
    <tableColumn id="2" xr3:uid="{35C96AE5-9182-4D39-94ED-C6CF9B9512A5}" name="Study_ID" dataDxfId="65"/>
    <tableColumn id="3" xr3:uid="{1D401884-DA27-4E46-8FDF-637021E3EDF0}" name="Site" dataDxfId="64"/>
    <tableColumn id="4" xr3:uid="{433B873D-A05E-4F84-A4DC-66E6E96FFAA9}" name="Visit" dataDxfId="63"/>
    <tableColumn id="5" xr3:uid="{2C724FFA-39CE-475E-A1A0-CCDE5E82F1E8}" name="Expected_Qty" dataDxfId="62"/>
    <tableColumn id="6" xr3:uid="{74F82F91-12BC-4EE9-9488-6BA3FA4AD119}" name="Received_Qty" dataDxfId="57">
      <calculatedColumnFormula>_xlfn.XLOOKUP(Analysis_Samples[[#This Row],[Sample_ID]],Received_Samples[Sample_ID],Received_Samples[Received_Qty],0)</calculatedColumnFormula>
    </tableColumn>
    <tableColumn id="7" xr3:uid="{186C12AF-D582-4AFD-9F46-549FDB37C500}" name="Status" dataDxfId="58">
      <calculatedColumnFormula>IF(Analysis_Samples[[#This Row],[Received_Qty]]=0,"Missing","Received")</calculatedColumnFormula>
    </tableColumn>
    <tableColumn id="8" xr3:uid="{50C03154-6B13-4E10-93AC-77AA7670292B}" name="Review_Flag" dataDxfId="59">
      <calculatedColumnFormula>IF(Analysis_Samples[[#This Row],[Status]]="Missing","Review","OK")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A64C-D760-40FD-AB02-A6AC25D10621}">
  <dimension ref="A1:E13"/>
  <sheetViews>
    <sheetView tabSelected="1" workbookViewId="0">
      <selection activeCell="G23" sqref="G23"/>
    </sheetView>
  </sheetViews>
  <sheetFormatPr defaultRowHeight="14.5" x14ac:dyDescent="0.35"/>
  <cols>
    <col min="1" max="1" width="14.36328125" bestFit="1" customWidth="1"/>
    <col min="2" max="2" width="12.81640625" bestFit="1" customWidth="1"/>
    <col min="3" max="3" width="8.6328125" bestFit="1" customWidth="1"/>
    <col min="4" max="4" width="9.08984375" bestFit="1" customWidth="1"/>
    <col min="5" max="5" width="12.17968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5">
      <c r="A2" s="4" t="s">
        <v>8</v>
      </c>
      <c r="B2" s="4" t="s">
        <v>9</v>
      </c>
      <c r="C2" s="4" t="s">
        <v>10</v>
      </c>
      <c r="D2" s="4" t="s">
        <v>11</v>
      </c>
      <c r="E2" s="2">
        <v>1</v>
      </c>
    </row>
    <row r="3" spans="1:5" x14ac:dyDescent="0.35">
      <c r="A3" s="4" t="s">
        <v>13</v>
      </c>
      <c r="B3" s="4" t="s">
        <v>9</v>
      </c>
      <c r="C3" s="4" t="s">
        <v>10</v>
      </c>
      <c r="D3" s="4" t="s">
        <v>11</v>
      </c>
      <c r="E3" s="2">
        <v>1</v>
      </c>
    </row>
    <row r="4" spans="1:5" x14ac:dyDescent="0.35">
      <c r="A4" s="4" t="s">
        <v>14</v>
      </c>
      <c r="B4" s="4" t="s">
        <v>9</v>
      </c>
      <c r="C4" s="4" t="s">
        <v>15</v>
      </c>
      <c r="D4" s="4" t="s">
        <v>11</v>
      </c>
      <c r="E4" s="2">
        <v>1</v>
      </c>
    </row>
    <row r="5" spans="1:5" x14ac:dyDescent="0.35">
      <c r="A5" s="4" t="s">
        <v>18</v>
      </c>
      <c r="B5" s="4" t="s">
        <v>9</v>
      </c>
      <c r="C5" s="4" t="s">
        <v>15</v>
      </c>
      <c r="D5" s="4" t="s">
        <v>19</v>
      </c>
      <c r="E5" s="2">
        <v>1</v>
      </c>
    </row>
    <row r="6" spans="1:5" x14ac:dyDescent="0.35">
      <c r="A6" s="4" t="s">
        <v>20</v>
      </c>
      <c r="B6" s="4" t="s">
        <v>9</v>
      </c>
      <c r="C6" s="4" t="s">
        <v>21</v>
      </c>
      <c r="D6" s="4" t="s">
        <v>11</v>
      </c>
      <c r="E6" s="2">
        <v>1</v>
      </c>
    </row>
    <row r="7" spans="1:5" x14ac:dyDescent="0.35">
      <c r="A7" s="4" t="s">
        <v>22</v>
      </c>
      <c r="B7" s="4" t="s">
        <v>23</v>
      </c>
      <c r="C7" s="4" t="s">
        <v>10</v>
      </c>
      <c r="D7" s="4" t="s">
        <v>11</v>
      </c>
      <c r="E7" s="2">
        <v>1</v>
      </c>
    </row>
    <row r="8" spans="1:5" x14ac:dyDescent="0.35">
      <c r="A8" s="4" t="s">
        <v>24</v>
      </c>
      <c r="B8" s="4" t="s">
        <v>23</v>
      </c>
      <c r="C8" s="4" t="s">
        <v>15</v>
      </c>
      <c r="D8" s="4" t="s">
        <v>11</v>
      </c>
      <c r="E8" s="2">
        <v>1</v>
      </c>
    </row>
    <row r="9" spans="1:5" x14ac:dyDescent="0.35">
      <c r="A9" s="4" t="s">
        <v>25</v>
      </c>
      <c r="B9" s="4" t="s">
        <v>23</v>
      </c>
      <c r="C9" s="4" t="s">
        <v>15</v>
      </c>
      <c r="D9" s="4" t="s">
        <v>19</v>
      </c>
      <c r="E9" s="2">
        <v>1</v>
      </c>
    </row>
    <row r="10" spans="1:5" x14ac:dyDescent="0.35">
      <c r="A10" s="4" t="s">
        <v>26</v>
      </c>
      <c r="B10" s="4" t="s">
        <v>23</v>
      </c>
      <c r="C10" s="4" t="s">
        <v>21</v>
      </c>
      <c r="D10" s="4" t="s">
        <v>11</v>
      </c>
      <c r="E10" s="2">
        <v>1</v>
      </c>
    </row>
    <row r="11" spans="1:5" x14ac:dyDescent="0.35">
      <c r="A11" s="4" t="s">
        <v>27</v>
      </c>
      <c r="B11" s="4" t="s">
        <v>23</v>
      </c>
      <c r="C11" s="4" t="s">
        <v>21</v>
      </c>
      <c r="D11" s="4" t="s">
        <v>19</v>
      </c>
      <c r="E11" s="2">
        <v>1</v>
      </c>
    </row>
    <row r="12" spans="1:5" x14ac:dyDescent="0.35">
      <c r="A12" s="4" t="s">
        <v>28</v>
      </c>
      <c r="B12" s="4" t="s">
        <v>29</v>
      </c>
      <c r="C12" s="4" t="s">
        <v>10</v>
      </c>
      <c r="D12" s="4" t="s">
        <v>11</v>
      </c>
      <c r="E12" s="2">
        <v>1</v>
      </c>
    </row>
    <row r="13" spans="1:5" x14ac:dyDescent="0.35">
      <c r="A13" s="4" t="s">
        <v>30</v>
      </c>
      <c r="B13" s="4" t="s">
        <v>29</v>
      </c>
      <c r="C13" s="4" t="s">
        <v>15</v>
      </c>
      <c r="D13" s="4" t="s">
        <v>11</v>
      </c>
      <c r="E13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F4C9-6916-404D-B1AD-A1628EB57AF5}">
  <dimension ref="A1:B9"/>
  <sheetViews>
    <sheetView workbookViewId="0">
      <selection activeCell="D5" sqref="D5"/>
    </sheetView>
  </sheetViews>
  <sheetFormatPr defaultRowHeight="14.5" x14ac:dyDescent="0.35"/>
  <cols>
    <col min="1" max="1" width="11.81640625" customWidth="1"/>
    <col min="2" max="2" width="14.1796875" customWidth="1"/>
  </cols>
  <sheetData>
    <row r="1" spans="1:2" ht="29" x14ac:dyDescent="0.35">
      <c r="A1" s="1" t="s">
        <v>0</v>
      </c>
      <c r="B1" s="3" t="s">
        <v>5</v>
      </c>
    </row>
    <row r="2" spans="1:2" x14ac:dyDescent="0.35">
      <c r="A2" s="4" t="s">
        <v>8</v>
      </c>
      <c r="B2" s="2">
        <v>1</v>
      </c>
    </row>
    <row r="3" spans="1:2" x14ac:dyDescent="0.35">
      <c r="A3" s="4" t="s">
        <v>13</v>
      </c>
      <c r="B3" s="2">
        <v>1</v>
      </c>
    </row>
    <row r="4" spans="1:2" x14ac:dyDescent="0.35">
      <c r="A4" s="4" t="s">
        <v>18</v>
      </c>
      <c r="B4" s="2">
        <v>1</v>
      </c>
    </row>
    <row r="5" spans="1:2" x14ac:dyDescent="0.35">
      <c r="A5" s="4" t="s">
        <v>22</v>
      </c>
      <c r="B5" s="2">
        <v>1</v>
      </c>
    </row>
    <row r="6" spans="1:2" x14ac:dyDescent="0.35">
      <c r="A6" s="4" t="s">
        <v>24</v>
      </c>
      <c r="B6" s="2">
        <v>1</v>
      </c>
    </row>
    <row r="7" spans="1:2" x14ac:dyDescent="0.35">
      <c r="A7" s="4" t="s">
        <v>26</v>
      </c>
      <c r="B7" s="2">
        <v>1</v>
      </c>
    </row>
    <row r="8" spans="1:2" x14ac:dyDescent="0.35">
      <c r="A8" s="4" t="s">
        <v>27</v>
      </c>
      <c r="B8" s="2">
        <v>1</v>
      </c>
    </row>
    <row r="9" spans="1:2" x14ac:dyDescent="0.35">
      <c r="A9" s="4" t="s">
        <v>30</v>
      </c>
      <c r="B9" s="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4603-2868-4B76-9B82-72F991320DE5}">
  <dimension ref="A1:N18"/>
  <sheetViews>
    <sheetView workbookViewId="0">
      <selection activeCell="G34" sqref="G34"/>
    </sheetView>
  </sheetViews>
  <sheetFormatPr defaultColWidth="18" defaultRowHeight="14.5" x14ac:dyDescent="0.35"/>
  <cols>
    <col min="1" max="5" width="18" style="5"/>
    <col min="6" max="6" width="12.1796875" style="5" bestFit="1" customWidth="1"/>
    <col min="7" max="16384" width="18" style="5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J1" s="12" t="s">
        <v>31</v>
      </c>
      <c r="K1" s="13" t="s">
        <v>32</v>
      </c>
    </row>
    <row r="2" spans="1:14" x14ac:dyDescent="0.35">
      <c r="A2" s="6" t="s">
        <v>8</v>
      </c>
      <c r="B2" s="7" t="s">
        <v>9</v>
      </c>
      <c r="C2" s="7" t="s">
        <v>10</v>
      </c>
      <c r="D2" s="7" t="s">
        <v>11</v>
      </c>
      <c r="E2" s="8">
        <v>1</v>
      </c>
      <c r="F2" s="5">
        <f>_xlfn.XLOOKUP(Analysis_Samples[[#This Row],[Sample_ID]],Received_Samples[Sample_ID],Received_Samples[Received_Qty],0)</f>
        <v>1</v>
      </c>
      <c r="G2" s="5" t="str">
        <f>IF(Analysis_Samples[[#This Row],[Received_Qty]]=0,"Missing","Received")</f>
        <v>Received</v>
      </c>
      <c r="H2" s="5" t="str">
        <f>IF(Analysis_Samples[[#This Row],[Status]]="Missing","Review","OK")</f>
        <v>OK</v>
      </c>
      <c r="J2" s="14" t="s">
        <v>33</v>
      </c>
      <c r="K2" s="15">
        <f>COUNTIFS(Analysis_Samples[Sample_ID],"&lt;&gt;")</f>
        <v>12</v>
      </c>
    </row>
    <row r="3" spans="1:14" x14ac:dyDescent="0.35">
      <c r="A3" s="9" t="s">
        <v>13</v>
      </c>
      <c r="B3" s="10" t="s">
        <v>9</v>
      </c>
      <c r="C3" s="10" t="s">
        <v>10</v>
      </c>
      <c r="D3" s="10" t="s">
        <v>11</v>
      </c>
      <c r="E3" s="11">
        <v>1</v>
      </c>
      <c r="F3" s="5">
        <f>_xlfn.XLOOKUP(Analysis_Samples[[#This Row],[Sample_ID]],Received_Samples[Sample_ID],Received_Samples[Received_Qty],0)</f>
        <v>1</v>
      </c>
      <c r="G3" s="5" t="str">
        <f>IF(Analysis_Samples[[#This Row],[Received_Qty]]=0,"Missing","Received")</f>
        <v>Received</v>
      </c>
      <c r="H3" s="5" t="str">
        <f>IF(Analysis_Samples[[#This Row],[Status]]="Missing","Review","OK")</f>
        <v>OK</v>
      </c>
      <c r="J3" s="14" t="s">
        <v>34</v>
      </c>
      <c r="K3" s="15">
        <f>COUNTIFS(Analysis_Samples[Status],"Received")</f>
        <v>8</v>
      </c>
    </row>
    <row r="4" spans="1:14" x14ac:dyDescent="0.35">
      <c r="A4" s="6" t="s">
        <v>14</v>
      </c>
      <c r="B4" s="7" t="s">
        <v>9</v>
      </c>
      <c r="C4" s="7" t="s">
        <v>15</v>
      </c>
      <c r="D4" s="7" t="s">
        <v>11</v>
      </c>
      <c r="E4" s="8">
        <v>1</v>
      </c>
      <c r="F4" s="5">
        <f>_xlfn.XLOOKUP(Analysis_Samples[[#This Row],[Sample_ID]],Received_Samples[Sample_ID],Received_Samples[Received_Qty],0)</f>
        <v>0</v>
      </c>
      <c r="G4" s="5" t="str">
        <f>IF(Analysis_Samples[[#This Row],[Received_Qty]]=0,"Missing","Received")</f>
        <v>Missing</v>
      </c>
      <c r="H4" s="5" t="str">
        <f>IF(Analysis_Samples[[#This Row],[Status]]="Missing","Review","OK")</f>
        <v>Review</v>
      </c>
      <c r="J4" s="14" t="s">
        <v>35</v>
      </c>
      <c r="K4" s="16">
        <f>COUNTIFS(Analysis_Samples[Status],"Missing")</f>
        <v>4</v>
      </c>
    </row>
    <row r="5" spans="1:14" x14ac:dyDescent="0.35">
      <c r="A5" s="9" t="s">
        <v>18</v>
      </c>
      <c r="B5" s="10" t="s">
        <v>9</v>
      </c>
      <c r="C5" s="10" t="s">
        <v>15</v>
      </c>
      <c r="D5" s="10" t="s">
        <v>19</v>
      </c>
      <c r="E5" s="11">
        <v>1</v>
      </c>
      <c r="F5" s="5">
        <f>_xlfn.XLOOKUP(Analysis_Samples[[#This Row],[Sample_ID]],Received_Samples[Sample_ID],Received_Samples[Received_Qty],0)</f>
        <v>1</v>
      </c>
      <c r="G5" s="5" t="str">
        <f>IF(Analysis_Samples[[#This Row],[Received_Qty]]=0,"Missing","Received")</f>
        <v>Received</v>
      </c>
      <c r="H5" s="5" t="str">
        <f>IF(Analysis_Samples[[#This Row],[Status]]="Missing","Review","OK")</f>
        <v>OK</v>
      </c>
      <c r="J5" s="14" t="s">
        <v>36</v>
      </c>
      <c r="K5" s="15">
        <f>COUNTIFS(Analysis_Samples[Review_Flag],"Review")</f>
        <v>4</v>
      </c>
    </row>
    <row r="6" spans="1:14" x14ac:dyDescent="0.35">
      <c r="A6" s="6" t="s">
        <v>20</v>
      </c>
      <c r="B6" s="7" t="s">
        <v>9</v>
      </c>
      <c r="C6" s="7" t="s">
        <v>21</v>
      </c>
      <c r="D6" s="7" t="s">
        <v>11</v>
      </c>
      <c r="E6" s="8">
        <v>1</v>
      </c>
      <c r="F6" s="5">
        <f>_xlfn.XLOOKUP(Analysis_Samples[[#This Row],[Sample_ID]],Received_Samples[Sample_ID],Received_Samples[Received_Qty],0)</f>
        <v>0</v>
      </c>
      <c r="G6" s="5" t="str">
        <f>IF(Analysis_Samples[[#This Row],[Received_Qty]]=0,"Missing","Received")</f>
        <v>Missing</v>
      </c>
      <c r="H6" s="5" t="str">
        <f>IF(Analysis_Samples[[#This Row],[Status]]="Missing","Review","OK")</f>
        <v>Review</v>
      </c>
      <c r="J6" s="14" t="s">
        <v>37</v>
      </c>
      <c r="K6" s="15">
        <f>SUMIFS(Analysis_Samples[Expected_Qty],Analysis_Samples[Sample_ID],"&lt;&gt;")</f>
        <v>12</v>
      </c>
    </row>
    <row r="7" spans="1:14" x14ac:dyDescent="0.35">
      <c r="A7" s="9" t="s">
        <v>22</v>
      </c>
      <c r="B7" s="10" t="s">
        <v>23</v>
      </c>
      <c r="C7" s="10" t="s">
        <v>10</v>
      </c>
      <c r="D7" s="10" t="s">
        <v>11</v>
      </c>
      <c r="E7" s="11">
        <v>1</v>
      </c>
      <c r="F7" s="5">
        <f>_xlfn.XLOOKUP(Analysis_Samples[[#This Row],[Sample_ID]],Received_Samples[Sample_ID],Received_Samples[Received_Qty],0)</f>
        <v>1</v>
      </c>
      <c r="G7" s="5" t="str">
        <f>IF(Analysis_Samples[[#This Row],[Received_Qty]]=0,"Missing","Received")</f>
        <v>Received</v>
      </c>
      <c r="H7" s="5" t="str">
        <f>IF(Analysis_Samples[[#This Row],[Status]]="Missing","Review","OK")</f>
        <v>OK</v>
      </c>
      <c r="J7" s="14" t="s">
        <v>38</v>
      </c>
      <c r="K7" s="15">
        <f>SUMIFS(Analysis_Samples[Received_Qty],Analysis_Samples[Sample_ID],"&lt;&gt;")</f>
        <v>8</v>
      </c>
    </row>
    <row r="8" spans="1:14" x14ac:dyDescent="0.35">
      <c r="A8" s="6" t="s">
        <v>24</v>
      </c>
      <c r="B8" s="7" t="s">
        <v>23</v>
      </c>
      <c r="C8" s="7" t="s">
        <v>15</v>
      </c>
      <c r="D8" s="7" t="s">
        <v>11</v>
      </c>
      <c r="E8" s="8">
        <v>1</v>
      </c>
      <c r="F8" s="5">
        <f>_xlfn.XLOOKUP(Analysis_Samples[[#This Row],[Sample_ID]],Received_Samples[Sample_ID],Received_Samples[Received_Qty],0)</f>
        <v>1</v>
      </c>
      <c r="G8" s="5" t="str">
        <f>IF(Analysis_Samples[[#This Row],[Received_Qty]]=0,"Missing","Received")</f>
        <v>Received</v>
      </c>
      <c r="H8" s="5" t="str">
        <f>IF(Analysis_Samples[[#This Row],[Status]]="Missing","Review","OK")</f>
        <v>OK</v>
      </c>
    </row>
    <row r="9" spans="1:14" x14ac:dyDescent="0.35">
      <c r="A9" s="9" t="s">
        <v>25</v>
      </c>
      <c r="B9" s="10" t="s">
        <v>23</v>
      </c>
      <c r="C9" s="10" t="s">
        <v>15</v>
      </c>
      <c r="D9" s="10" t="s">
        <v>19</v>
      </c>
      <c r="E9" s="11">
        <v>1</v>
      </c>
      <c r="F9" s="5">
        <f>_xlfn.XLOOKUP(Analysis_Samples[[#This Row],[Sample_ID]],Received_Samples[Sample_ID],Received_Samples[Received_Qty],0)</f>
        <v>0</v>
      </c>
      <c r="G9" s="5" t="str">
        <f>IF(Analysis_Samples[[#This Row],[Received_Qty]]=0,"Missing","Received")</f>
        <v>Missing</v>
      </c>
      <c r="H9" s="5" t="str">
        <f>IF(Analysis_Samples[[#This Row],[Status]]="Missing","Review","OK")</f>
        <v>Review</v>
      </c>
    </row>
    <row r="10" spans="1:14" x14ac:dyDescent="0.35">
      <c r="A10" s="6" t="s">
        <v>26</v>
      </c>
      <c r="B10" s="7" t="s">
        <v>23</v>
      </c>
      <c r="C10" s="7" t="s">
        <v>21</v>
      </c>
      <c r="D10" s="7" t="s">
        <v>11</v>
      </c>
      <c r="E10" s="8">
        <v>1</v>
      </c>
      <c r="F10" s="5">
        <f>_xlfn.XLOOKUP(Analysis_Samples[[#This Row],[Sample_ID]],Received_Samples[Sample_ID],Received_Samples[Received_Qty],0)</f>
        <v>1</v>
      </c>
      <c r="G10" s="5" t="str">
        <f>IF(Analysis_Samples[[#This Row],[Received_Qty]]=0,"Missing","Received")</f>
        <v>Received</v>
      </c>
      <c r="H10" s="5" t="str">
        <f>IF(Analysis_Samples[[#This Row],[Status]]="Missing","Review","OK")</f>
        <v>OK</v>
      </c>
      <c r="J10" s="12" t="s">
        <v>1</v>
      </c>
      <c r="K10" s="13" t="s">
        <v>33</v>
      </c>
      <c r="L10" s="13" t="s">
        <v>34</v>
      </c>
      <c r="M10" s="13" t="s">
        <v>35</v>
      </c>
      <c r="N10" s="13" t="s">
        <v>38</v>
      </c>
    </row>
    <row r="11" spans="1:14" x14ac:dyDescent="0.35">
      <c r="A11" s="9" t="s">
        <v>27</v>
      </c>
      <c r="B11" s="10" t="s">
        <v>23</v>
      </c>
      <c r="C11" s="10" t="s">
        <v>21</v>
      </c>
      <c r="D11" s="10" t="s">
        <v>19</v>
      </c>
      <c r="E11" s="11">
        <v>1</v>
      </c>
      <c r="F11" s="5">
        <f>_xlfn.XLOOKUP(Analysis_Samples[[#This Row],[Sample_ID]],Received_Samples[Sample_ID],Received_Samples[Received_Qty],0)</f>
        <v>1</v>
      </c>
      <c r="G11" s="5" t="str">
        <f>IF(Analysis_Samples[[#This Row],[Received_Qty]]=0,"Missing","Received")</f>
        <v>Received</v>
      </c>
      <c r="H11" s="5" t="str">
        <f>IF(Analysis_Samples[[#This Row],[Status]]="Missing","Review","OK")</f>
        <v>OK</v>
      </c>
      <c r="J11" s="14" t="s">
        <v>9</v>
      </c>
      <c r="K11" s="15">
        <f>COUNTIFS(Analysis_Samples[Study_ID],J11)</f>
        <v>5</v>
      </c>
      <c r="L11" s="15">
        <f>COUNTIFS(Analysis_Samples[Study_ID],J11,Analysis_Samples[Status],"Received")</f>
        <v>3</v>
      </c>
      <c r="M11" s="15">
        <f>COUNTIFS(Analysis_Samples[Study_ID],J11,Analysis_Samples[Status],"Missing")</f>
        <v>2</v>
      </c>
      <c r="N11" s="15">
        <f>SUMIFS(Analysis_Samples[Received_Qty],Analysis_Samples[Study_ID],J11)</f>
        <v>3</v>
      </c>
    </row>
    <row r="12" spans="1:14" x14ac:dyDescent="0.35">
      <c r="A12" s="6" t="s">
        <v>28</v>
      </c>
      <c r="B12" s="7" t="s">
        <v>29</v>
      </c>
      <c r="C12" s="7" t="s">
        <v>10</v>
      </c>
      <c r="D12" s="7" t="s">
        <v>11</v>
      </c>
      <c r="E12" s="8">
        <v>1</v>
      </c>
      <c r="F12" s="5">
        <f>_xlfn.XLOOKUP(Analysis_Samples[[#This Row],[Sample_ID]],Received_Samples[Sample_ID],Received_Samples[Received_Qty],0)</f>
        <v>0</v>
      </c>
      <c r="G12" s="5" t="str">
        <f>IF(Analysis_Samples[[#This Row],[Received_Qty]]=0,"Missing","Received")</f>
        <v>Missing</v>
      </c>
      <c r="H12" s="5" t="str">
        <f>IF(Analysis_Samples[[#This Row],[Status]]="Missing","Review","OK")</f>
        <v>Review</v>
      </c>
      <c r="J12" s="14" t="s">
        <v>23</v>
      </c>
      <c r="K12" s="15">
        <f>COUNTIFS(Analysis_Samples[Study_ID],J12)</f>
        <v>5</v>
      </c>
      <c r="L12" s="15">
        <f>COUNTIFS(Analysis_Samples[Study_ID],J12,Analysis_Samples[Status],"Received")</f>
        <v>4</v>
      </c>
      <c r="M12" s="15">
        <f>COUNTIFS(Analysis_Samples[Study_ID],J12,Analysis_Samples[Status],"Missing")</f>
        <v>1</v>
      </c>
      <c r="N12" s="15">
        <f>SUMIFS(Analysis_Samples[Received_Qty],Analysis_Samples[Study_ID],J12)</f>
        <v>4</v>
      </c>
    </row>
    <row r="13" spans="1:14" x14ac:dyDescent="0.35">
      <c r="A13" s="9" t="s">
        <v>30</v>
      </c>
      <c r="B13" s="10" t="s">
        <v>29</v>
      </c>
      <c r="C13" s="10" t="s">
        <v>15</v>
      </c>
      <c r="D13" s="10" t="s">
        <v>11</v>
      </c>
      <c r="E13" s="11">
        <v>1</v>
      </c>
      <c r="F13" s="5">
        <f>_xlfn.XLOOKUP(Analysis_Samples[[#This Row],[Sample_ID]],Received_Samples[Sample_ID],Received_Samples[Received_Qty],0)</f>
        <v>1</v>
      </c>
      <c r="G13" s="5" t="str">
        <f>IF(Analysis_Samples[[#This Row],[Received_Qty]]=0,"Missing","Received")</f>
        <v>Received</v>
      </c>
      <c r="H13" s="5" t="str">
        <f>IF(Analysis_Samples[[#This Row],[Status]]="Missing","Review","OK")</f>
        <v>OK</v>
      </c>
      <c r="J13" s="14" t="s">
        <v>29</v>
      </c>
      <c r="K13" s="15">
        <f>COUNTIFS(Analysis_Samples[Study_ID],J13)</f>
        <v>2</v>
      </c>
      <c r="L13" s="15">
        <f>COUNTIFS(Analysis_Samples[Study_ID],J13,Analysis_Samples[Status],"Received")</f>
        <v>1</v>
      </c>
      <c r="M13" s="15">
        <f>COUNTIFS(Analysis_Samples[Study_ID],J13,Analysis_Samples[Status],"Missing")</f>
        <v>1</v>
      </c>
      <c r="N13" s="15">
        <f>SUMIFS(Analysis_Samples[Received_Qty],Analysis_Samples[Study_ID],J13)</f>
        <v>1</v>
      </c>
    </row>
    <row r="16" spans="1:14" x14ac:dyDescent="0.35">
      <c r="J16" s="12" t="s">
        <v>3</v>
      </c>
      <c r="K16" s="13" t="s">
        <v>33</v>
      </c>
      <c r="L16" s="13" t="s">
        <v>34</v>
      </c>
      <c r="M16" s="13" t="s">
        <v>35</v>
      </c>
    </row>
    <row r="17" spans="10:13" x14ac:dyDescent="0.35">
      <c r="J17" s="14" t="s">
        <v>11</v>
      </c>
      <c r="K17" s="15">
        <f>COUNTIFS(Analysis_Samples[Visit],J17)</f>
        <v>9</v>
      </c>
      <c r="L17" s="15">
        <f>COUNTIFS(Analysis_Samples[Visit],J17,Analysis_Samples[Status],"Received")</f>
        <v>6</v>
      </c>
      <c r="M17" s="15">
        <f>COUNTIFS(Analysis_Samples[Visit],J17,Analysis_Samples[Status],"Missing")</f>
        <v>3</v>
      </c>
    </row>
    <row r="18" spans="10:13" x14ac:dyDescent="0.35">
      <c r="J18" s="14" t="s">
        <v>19</v>
      </c>
      <c r="K18" s="15">
        <f>COUNTIFS(Analysis_Samples[Visit],J18)</f>
        <v>3</v>
      </c>
      <c r="L18" s="15">
        <f>COUNTIFS(Analysis_Samples[Visit],J18,Analysis_Samples[Status],"Received")</f>
        <v>2</v>
      </c>
      <c r="M18" s="15">
        <f>COUNTIFS(Analysis_Samples[Visit],J18,Analysis_Samples[Status],"Missing")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CC5A-8D91-4460-8ACD-BEDCAD91C886}">
  <dimension ref="A1:B23"/>
  <sheetViews>
    <sheetView workbookViewId="0">
      <selection sqref="A1:B7"/>
    </sheetView>
  </sheetViews>
  <sheetFormatPr defaultRowHeight="14.5" x14ac:dyDescent="0.35"/>
  <cols>
    <col min="1" max="1" width="12.453125" bestFit="1" customWidth="1"/>
    <col min="2" max="2" width="17.453125" bestFit="1" customWidth="1"/>
    <col min="3" max="5" width="4.90625" bestFit="1" customWidth="1"/>
    <col min="6" max="6" width="10.36328125" bestFit="1" customWidth="1"/>
    <col min="7" max="13" width="4.90625" bestFit="1" customWidth="1"/>
    <col min="14" max="14" width="10.36328125" bestFit="1" customWidth="1"/>
  </cols>
  <sheetData>
    <row r="1" spans="1:2" x14ac:dyDescent="0.35">
      <c r="A1" s="18" t="s">
        <v>6</v>
      </c>
      <c r="B1" s="18" t="s">
        <v>16</v>
      </c>
    </row>
    <row r="2" spans="1:2" x14ac:dyDescent="0.35">
      <c r="A2" s="18"/>
      <c r="B2" s="18"/>
    </row>
    <row r="3" spans="1:2" x14ac:dyDescent="0.35">
      <c r="A3" s="18" t="s">
        <v>39</v>
      </c>
      <c r="B3" s="18" t="s">
        <v>41</v>
      </c>
    </row>
    <row r="4" spans="1:2" x14ac:dyDescent="0.35">
      <c r="A4" s="19" t="s">
        <v>9</v>
      </c>
      <c r="B4" s="20">
        <v>2</v>
      </c>
    </row>
    <row r="5" spans="1:2" x14ac:dyDescent="0.35">
      <c r="A5" s="19" t="s">
        <v>23</v>
      </c>
      <c r="B5" s="20">
        <v>1</v>
      </c>
    </row>
    <row r="6" spans="1:2" x14ac:dyDescent="0.35">
      <c r="A6" s="19" t="s">
        <v>29</v>
      </c>
      <c r="B6" s="20">
        <v>1</v>
      </c>
    </row>
    <row r="7" spans="1:2" x14ac:dyDescent="0.35">
      <c r="A7" s="19" t="s">
        <v>40</v>
      </c>
      <c r="B7" s="20">
        <v>4</v>
      </c>
    </row>
    <row r="8" spans="1:2" x14ac:dyDescent="0.35">
      <c r="A8" s="5"/>
      <c r="B8" s="17"/>
    </row>
    <row r="9" spans="1:2" x14ac:dyDescent="0.35">
      <c r="A9" s="18" t="s">
        <v>6</v>
      </c>
      <c r="B9" s="18" t="s">
        <v>12</v>
      </c>
    </row>
    <row r="10" spans="1:2" x14ac:dyDescent="0.35">
      <c r="A10" s="18"/>
      <c r="B10" s="18"/>
    </row>
    <row r="11" spans="1:2" x14ac:dyDescent="0.35">
      <c r="A11" s="18" t="s">
        <v>39</v>
      </c>
      <c r="B11" s="18" t="s">
        <v>41</v>
      </c>
    </row>
    <row r="12" spans="1:2" x14ac:dyDescent="0.35">
      <c r="A12" s="19" t="s">
        <v>11</v>
      </c>
      <c r="B12" s="20">
        <v>6</v>
      </c>
    </row>
    <row r="13" spans="1:2" x14ac:dyDescent="0.35">
      <c r="A13" s="19" t="s">
        <v>19</v>
      </c>
      <c r="B13" s="20">
        <v>2</v>
      </c>
    </row>
    <row r="14" spans="1:2" x14ac:dyDescent="0.35">
      <c r="A14" s="19" t="s">
        <v>40</v>
      </c>
      <c r="B14" s="20">
        <v>8</v>
      </c>
    </row>
    <row r="17" spans="1:2" x14ac:dyDescent="0.35">
      <c r="A17" s="18" t="s">
        <v>7</v>
      </c>
      <c r="B17" s="18" t="s">
        <v>17</v>
      </c>
    </row>
    <row r="18" spans="1:2" x14ac:dyDescent="0.35">
      <c r="A18" s="18"/>
      <c r="B18" s="18"/>
    </row>
    <row r="19" spans="1:2" x14ac:dyDescent="0.35">
      <c r="A19" s="18" t="s">
        <v>39</v>
      </c>
      <c r="B19" s="18" t="s">
        <v>42</v>
      </c>
    </row>
    <row r="20" spans="1:2" x14ac:dyDescent="0.35">
      <c r="A20" s="19" t="s">
        <v>9</v>
      </c>
      <c r="B20" s="20">
        <v>2</v>
      </c>
    </row>
    <row r="21" spans="1:2" x14ac:dyDescent="0.35">
      <c r="A21" s="19" t="s">
        <v>23</v>
      </c>
      <c r="B21" s="20">
        <v>1</v>
      </c>
    </row>
    <row r="22" spans="1:2" x14ac:dyDescent="0.35">
      <c r="A22" s="19" t="s">
        <v>29</v>
      </c>
      <c r="B22" s="20">
        <v>1</v>
      </c>
    </row>
    <row r="23" spans="1:2" x14ac:dyDescent="0.35">
      <c r="A23" s="19" t="s">
        <v>40</v>
      </c>
      <c r="B23" s="20">
        <v>4</v>
      </c>
    </row>
  </sheetData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Expected_samples</vt:lpstr>
      <vt:lpstr>Received_samples</vt:lpstr>
      <vt:lpstr>Analysis</vt:lpstr>
      <vt:lpstr>PivotTable_Analysis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Marcilia Alves Machado</dc:creator>
  <cp:lastModifiedBy>Marcilia Alves Machado</cp:lastModifiedBy>
  <dcterms:created xsi:type="dcterms:W3CDTF">2026-03-25T22:35:50Z</dcterms:created>
  <dcterms:modified xsi:type="dcterms:W3CDTF">2026-03-29T14:29:30Z</dcterms:modified>
</cp:coreProperties>
</file>